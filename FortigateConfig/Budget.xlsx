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ools\FortigateConfig\"/>
    </mc:Choice>
  </mc:AlternateContent>
  <xr:revisionPtr revIDLastSave="0" documentId="13_ncr:1_{D75E432D-8FB9-4C05-A9A6-C778A43920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F5" i="1"/>
  <c r="F6" i="1"/>
  <c r="F4" i="1"/>
  <c r="F7" i="1" s="1"/>
  <c r="K8" i="1" l="1"/>
</calcChain>
</file>

<file path=xl/sharedStrings.xml><?xml version="1.0" encoding="utf-8"?>
<sst xmlns="http://schemas.openxmlformats.org/spreadsheetml/2006/main" count="19" uniqueCount="13">
  <si>
    <t>Item</t>
  </si>
  <si>
    <t>Quantity</t>
  </si>
  <si>
    <t>Price</t>
  </si>
  <si>
    <t>Omada Controller</t>
  </si>
  <si>
    <t>Omada SG2428P Switch</t>
  </si>
  <si>
    <t>Omada EAP670 Wireless AP</t>
  </si>
  <si>
    <t>Firewall BareMetal PC</t>
  </si>
  <si>
    <t>Total</t>
  </si>
  <si>
    <t>FC-10-F100F-950-02-12FOSTSA3470-FC-10-F100F-950-02-12- SUPPORT-RWLFG-100F Subscription Renewal - 1Yr.Sr#: FG100FTK23085575(UTP) (IPS, Advanced Malware Protection, Application Control, URL, DNS &amp;Video Filtering, Antispam Service, and FortiCare Premium)</t>
  </si>
  <si>
    <t>FC-10-148FF-247-02-12FortiSwitch-148F-FPOE FortiCare Premium Support-1YrSr#: S148FFTF23020423</t>
  </si>
  <si>
    <t>FC-10-F431F-247-02-12FortiAP-431F FortiCare Premium Support-1YrSr#: FP431FTF23099DUYSr#: FP431FTF23099DJ8Sr#: FP431FTF23099DHU</t>
  </si>
  <si>
    <t>Fortigate</t>
  </si>
  <si>
    <t>OPNSense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</si>
</sst>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14"/>
  <sheetViews>
    <sheetView tabSelected="1" workbookViewId="0">
      <selection activeCell="E9" sqref="E9"/>
    </sheetView>
  </sheetViews>
  <sheetFormatPr defaultRowHeight="14.5" x14ac:dyDescent="0.35"/>
  <cols>
    <col min="3" max="3" width="40.08984375" customWidth="1"/>
    <col min="8" max="8" width="24" bestFit="1" customWidth="1"/>
    <col min="9" max="9" width="8.1796875" bestFit="1" customWidth="1"/>
    <col min="10" max="10" width="6.26953125" bestFit="1" customWidth="1"/>
    <col min="11" max="11" width="6.81640625" bestFit="1" customWidth="1"/>
  </cols>
  <sheetData>
    <row r="2" spans="3:11" x14ac:dyDescent="0.35">
      <c r="C2" s="1" t="s">
        <v>11</v>
      </c>
      <c r="D2" s="1"/>
      <c r="E2" s="1"/>
      <c r="F2" s="1"/>
      <c r="H2" s="1" t="s">
        <v>12</v>
      </c>
      <c r="I2" s="1"/>
      <c r="J2" s="1"/>
      <c r="K2" s="1"/>
    </row>
    <row r="3" spans="3:11" x14ac:dyDescent="0.35">
      <c r="C3" s="8" t="s">
        <v>0</v>
      </c>
      <c r="D3" s="8" t="s">
        <v>1</v>
      </c>
      <c r="E3" s="8" t="s">
        <v>2</v>
      </c>
      <c r="F3" s="8" t="s">
        <v>7</v>
      </c>
      <c r="H3" s="8" t="s">
        <v>0</v>
      </c>
      <c r="I3" s="8" t="s">
        <v>1</v>
      </c>
      <c r="J3" s="8" t="s">
        <v>2</v>
      </c>
      <c r="K3" s="8" t="s">
        <v>7</v>
      </c>
    </row>
    <row r="4" spans="3:11" ht="101.5" x14ac:dyDescent="0.35">
      <c r="C4" s="4" t="s">
        <v>8</v>
      </c>
      <c r="D4" s="2">
        <v>1</v>
      </c>
      <c r="E4" s="3">
        <v>157879</v>
      </c>
      <c r="F4" s="2">
        <f>E4*D4</f>
        <v>157879</v>
      </c>
      <c r="H4" s="2" t="s">
        <v>6</v>
      </c>
      <c r="I4" s="2">
        <v>1</v>
      </c>
      <c r="J4" s="2">
        <v>87320</v>
      </c>
      <c r="K4" s="2">
        <f t="shared" ref="K4" si="0">J4*I4</f>
        <v>87320</v>
      </c>
    </row>
    <row r="5" spans="3:11" ht="43.5" x14ac:dyDescent="0.35">
      <c r="C5" s="4" t="s">
        <v>9</v>
      </c>
      <c r="D5" s="2">
        <v>1</v>
      </c>
      <c r="E5" s="3">
        <v>24522</v>
      </c>
      <c r="F5" s="2">
        <f t="shared" ref="F5:F6" si="1">E5*D5</f>
        <v>24522</v>
      </c>
      <c r="H5" s="2" t="s">
        <v>4</v>
      </c>
      <c r="I5" s="2">
        <v>1</v>
      </c>
      <c r="J5" s="3">
        <v>16050</v>
      </c>
      <c r="K5" s="2">
        <f>J5*I5</f>
        <v>16050</v>
      </c>
    </row>
    <row r="6" spans="3:11" ht="58" x14ac:dyDescent="0.35">
      <c r="C6" s="4" t="s">
        <v>10</v>
      </c>
      <c r="D6" s="2">
        <v>3</v>
      </c>
      <c r="E6" s="3">
        <v>7742</v>
      </c>
      <c r="F6" s="2">
        <f t="shared" si="1"/>
        <v>23226</v>
      </c>
      <c r="H6" s="2" t="s">
        <v>5</v>
      </c>
      <c r="I6" s="3">
        <v>3</v>
      </c>
      <c r="J6" s="3">
        <v>15200</v>
      </c>
      <c r="K6" s="2">
        <f t="shared" ref="K6:K7" si="2">J6*I6</f>
        <v>45600</v>
      </c>
    </row>
    <row r="7" spans="3:11" x14ac:dyDescent="0.35">
      <c r="C7" s="9" t="s">
        <v>7</v>
      </c>
      <c r="D7" s="9"/>
      <c r="E7" s="9"/>
      <c r="F7" s="8">
        <f>SUM(F4:F6)</f>
        <v>205627</v>
      </c>
      <c r="H7" s="2" t="s">
        <v>3</v>
      </c>
      <c r="I7" s="2">
        <v>1</v>
      </c>
      <c r="J7" s="3">
        <v>9900</v>
      </c>
      <c r="K7" s="2">
        <f t="shared" si="2"/>
        <v>9900</v>
      </c>
    </row>
    <row r="8" spans="3:11" x14ac:dyDescent="0.35">
      <c r="H8" s="1" t="s">
        <v>7</v>
      </c>
      <c r="I8" s="1"/>
      <c r="J8" s="1"/>
      <c r="K8" s="8">
        <f>SUM(K4:K7)</f>
        <v>158870</v>
      </c>
    </row>
    <row r="10" spans="3:11" x14ac:dyDescent="0.35">
      <c r="H10" s="5"/>
      <c r="I10" s="5"/>
      <c r="J10" s="6"/>
      <c r="K10" s="5"/>
    </row>
    <row r="11" spans="3:11" x14ac:dyDescent="0.35">
      <c r="H11" s="5"/>
      <c r="I11" s="6"/>
      <c r="J11" s="6"/>
      <c r="K11" s="5"/>
    </row>
    <row r="12" spans="3:11" x14ac:dyDescent="0.35">
      <c r="H12" s="5"/>
      <c r="I12" s="5"/>
      <c r="J12" s="6"/>
      <c r="K12" s="5"/>
    </row>
    <row r="13" spans="3:11" x14ac:dyDescent="0.35">
      <c r="H13" s="7"/>
      <c r="I13" s="5"/>
      <c r="J13" s="5"/>
      <c r="K13" s="5"/>
    </row>
    <row r="14" spans="3:11" x14ac:dyDescent="0.35">
      <c r="H14" s="7"/>
      <c r="I14" s="7"/>
      <c r="J14" s="7"/>
      <c r="K14" s="7"/>
    </row>
  </sheetData>
  <mergeCells count="4">
    <mergeCell ref="H8:J8"/>
    <mergeCell ref="C7:E7"/>
    <mergeCell ref="C2:F2"/>
    <mergeCell ref="H2:K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Binny Andrews</dc:creator>
  <cp:lastModifiedBy>Binny Andrews</cp:lastModifiedBy>
  <dcterms:created xsi:type="dcterms:W3CDTF">2015-06-05T18:17:20Z</dcterms:created>
  <dcterms:modified xsi:type="dcterms:W3CDTF">2026-09-16T08:01:01Z</dcterms:modified>
</cp:coreProperties>
</file>